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elber\Documents\Projects\HiROCK-High-Resolution-Rockfall\Design\"/>
    </mc:Choice>
  </mc:AlternateContent>
  <xr:revisionPtr revIDLastSave="0" documentId="13_ncr:1_{DF33A413-250B-471E-9D59-940B4EC6C30C}" xr6:coauthVersionLast="47" xr6:coauthVersionMax="47" xr10:uidLastSave="{00000000-0000-0000-0000-000000000000}"/>
  <bookViews>
    <workbookView xWindow="-110" yWindow="-110" windowWidth="19420" windowHeight="11500" xr2:uid="{8CB8B721-14A8-4EE0-BE83-90EF124BF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<sst xmlns="http://schemas.openxmlformats.org/spreadsheetml/2006/main" count="53" uniqueCount="53">
  <si>
    <t>HiRock - Camera Setup</t>
  </si>
  <si>
    <t>Item</t>
  </si>
  <si>
    <t>Price</t>
  </si>
  <si>
    <t>Notes</t>
  </si>
  <si>
    <t>Lense</t>
  </si>
  <si>
    <t>Solar Panel</t>
  </si>
  <si>
    <t>Raspberry Pi</t>
  </si>
  <si>
    <t xml:space="preserve">Casing </t>
  </si>
  <si>
    <t>Small Parts</t>
  </si>
  <si>
    <t>Power Bank/Battery</t>
  </si>
  <si>
    <t>Raspberry Pi Accessories</t>
  </si>
  <si>
    <t>Power Management</t>
  </si>
  <si>
    <t>Buck converter</t>
  </si>
  <si>
    <t>512GB</t>
  </si>
  <si>
    <t>Solar Power Controller</t>
  </si>
  <si>
    <t>https://de.eco-worthy.com/products/lifepo4-12v-30ah-lithium-eisen-phosphat-batterie?currency=EUR&amp;variant=42234336903376&amp;utm_source=google&amp;utm_medium=cpc&amp;utm_campaign=Google%20Shopping&amp;stkn=05237b7883da&amp;gad_source=1&amp;gad_campaignid=20109358748&amp;gbraid=0AAAAABJEQXyc9jM4IPqoOi4J0etV53qfC&amp;gclid=CjwKCAiA9aPKBhBhEiwAyz82JzyKK6CD6hc0zARX8k6E9XRay25Z7Z_fpQqpUREA0O3WggNRlFfW4hoCAKAQAvD_BwE</t>
  </si>
  <si>
    <t>https://www.auer-packaging.com/at/de/Schutzkoffer-Pro/CP-S-4322-B2.html?color=7016</t>
  </si>
  <si>
    <t>UV-Filter Lense</t>
  </si>
  <si>
    <t>https://www.conrad.at/de/p/tru-components-hx-pf-m16-druckausgleichselement-m16-pa66-schwarz-1-st-2618380.html?utm_source=google-shopping-de&amp;utm_medium=search&amp;utm_campaign=shopping-online-de&amp;utm_content=shopping-ad_cpc&amp;WT.srch=1&amp;ef_id=CjwKCAiAmKnKBhBrEiwAaqAnZzR958LvSd0keLLUDlJokf05jBav_GhoL1c8_glXFWZeRuTF8K0oWBoCDMUQAvD_BwE%3AG%3As&amp;utm_source=google&amp;utm_medium=cpc&amp;utm_campaign=Shopping_AT_2025&amp;utm_id=22317741252&amp;gad_source=1&amp;gad_campaignid=22317741252&amp;gbraid=0AAAAADoNYuyAPWqsOQlQkASzECOSHIPxE&amp;gclid=CjwKCAiAmKnKBhBrEiwAaqAnZzR958LvSd0keLLUDlJokf05jBav_GhoL1c8_glXFWZeRuTF8K0oWBoCDMUQAvD_BwE</t>
  </si>
  <si>
    <t>Gore / Porex vent</t>
  </si>
  <si>
    <t>screws, bolts, nuts, washers, rubber washers, brackets, velcro, silicone, silica moisture absorber, cable ties</t>
  </si>
  <si>
    <t>Example-Link</t>
  </si>
  <si>
    <t>Sensor</t>
  </si>
  <si>
    <t>Casing</t>
  </si>
  <si>
    <t>Power</t>
  </si>
  <si>
    <t>Other</t>
  </si>
  <si>
    <t>Protective case, 300x200x140 mm</t>
  </si>
  <si>
    <t>Control
unit</t>
  </si>
  <si>
    <t>Group</t>
  </si>
  <si>
    <t>Pressure equalization for casing</t>
  </si>
  <si>
    <t>metal brackets, vibration isolation - thick aluminum mounting plate (good for climate inside box), sun/rain hood</t>
  </si>
  <si>
    <t>Internal Mounting</t>
  </si>
  <si>
    <t>10a</t>
  </si>
  <si>
    <t>12v, 30ah</t>
  </si>
  <si>
    <t>https://www.uugear.com/product/witty-pi-4/</t>
  </si>
  <si>
    <t>Sensor
System</t>
  </si>
  <si>
    <t>MER2-2000-19U3C</t>
  </si>
  <si>
    <t>Computar V7531-MPZ</t>
  </si>
  <si>
    <t>https://www.vision-dimension.com/de/objektive/c-mount-objektive-und-cs-mount-objektive/festbrennweite-manuell/75-mm-c-mount-20mp-objektiv-computar-v7531-mpz-3-1/75mm/1110?pk_campaign=GoogleShopping&amp;gad_source=1&amp;gad_campaignid=341317344&amp;gbraid=0AAAAAD_nYhsZCIAqTokEmP64dj5N8DbTK&amp;gclid=CjwKCAjwhLPOBhBiEiwA8_wJHGx4FS7IG3tanuCsKTaVejbIYgi3GGxQxouGaOVCQQOFfRBm_25E9hoCdacQAvD_BwE</t>
  </si>
  <si>
    <t>https://www.berrybase.at/raspberry-pi-5-1gb-ram</t>
  </si>
  <si>
    <t>Main control unit (pi5)</t>
  </si>
  <si>
    <t>https://va-imaging.com/de/products/usb-camera-3-0-20mp-monochrome-sony-imx183-mer2-2000-19u3m?_pos=1&amp;_fid=e8ea17c26&amp;_ss=c#second-part-specifications</t>
  </si>
  <si>
    <t>20W, 12V</t>
  </si>
  <si>
    <t>https://www.reichelt.at/at/de/shop/produkt/dc_dc-wandler_thn_15wir_15_w_5_v_3000_ma-251098#closemodal</t>
  </si>
  <si>
    <t>https://at.rs-online.com/web/p/industrie-automation-steckverbinder/1316384</t>
  </si>
  <si>
    <t>SD Card</t>
  </si>
  <si>
    <t>https://www.berrybase.at/sandisk-ultra-microsdhc-a1-150mb-s-class-10-speicherkarte-adapter-512gb</t>
  </si>
  <si>
    <t>Short, shielded USB cable (camera → Pi), GPIO wires for Witty Pi 4, Ferrite beads, Waterproof cable glands, Strain relief</t>
  </si>
  <si>
    <t>https://www.berrybase.at/</t>
  </si>
  <si>
    <t>https://www.conrad.at/de/p/phaesun-sun-plus-20-j-monokristallines-solarmodul-20-w-12-v-2973322.html</t>
  </si>
  <si>
    <t>https://www.reichelt.at/at/de/shop/produkt/solar_laderegler_bluesolar_mppt_75_10_10a-377539</t>
  </si>
  <si>
    <t>https://www.conrad.at/de/marken/b-w-filter.html?tfo_productType=Schutzfilter&amp;srsltid=AfmBOopjUygmI8BwPwP8P7BD0AaSFtDo0Ecc8T__jikrzngxVpuH9Lqp&amp;refresh=true</t>
  </si>
  <si>
    <t>Witty Pi4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</si>
</sst>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4" x14ac:knownFonts="1">
    <font>
      <sz val="11"/>
      <color theme="1"/>
      <name val="Nunito Sans"/>
      <family val="2"/>
    </font>
    <font>
      <sz val="11"/>
      <color theme="1"/>
      <name val="Nunito Sans"/>
      <family val="2"/>
    </font>
    <font>
      <b/>
      <sz val="11"/>
      <color theme="1"/>
      <name val="Nunito Sans"/>
    </font>
    <font>
      <u/>
      <sz val="11"/>
      <color theme="10"/>
      <name val="Nuni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Border="1"/>
    <xf numFmtId="0" fontId="2" fillId="0" borderId="0" xfId="0" applyFont="1" applyBorder="1"/>
    <xf numFmtId="0" fontId="0" fillId="2" borderId="0" xfId="0" applyFill="1" applyBorder="1"/>
    <xf numFmtId="0" fontId="0" fillId="0" borderId="1" xfId="0" applyFill="1" applyBorder="1"/>
    <xf numFmtId="44" fontId="0" fillId="0" borderId="1" xfId="1" applyFont="1" applyFill="1" applyBorder="1"/>
    <xf numFmtId="0" fontId="3" fillId="0" borderId="5" xfId="2" applyFill="1" applyBorder="1"/>
    <xf numFmtId="0" fontId="0" fillId="0" borderId="0" xfId="0" applyFill="1" applyBorder="1"/>
    <xf numFmtId="0" fontId="0" fillId="0" borderId="5" xfId="0" applyFill="1" applyBorder="1"/>
    <xf numFmtId="0" fontId="2" fillId="0" borderId="0" xfId="0" applyFont="1" applyFill="1"/>
    <xf numFmtId="0" fontId="3" fillId="0" borderId="0" xfId="2" applyFill="1"/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44" fontId="0" fillId="0" borderId="0" xfId="1" applyFont="1" applyFill="1"/>
    <xf numFmtId="0" fontId="0" fillId="3" borderId="1" xfId="0" applyFill="1" applyBorder="1"/>
    <xf numFmtId="44" fontId="0" fillId="3" borderId="1" xfId="1" applyFont="1" applyFill="1" applyBorder="1"/>
    <xf numFmtId="0" fontId="3" fillId="3" borderId="5" xfId="2" applyFill="1" applyBorder="1"/>
    <xf numFmtId="0" fontId="0" fillId="3" borderId="5" xfId="0" applyFill="1" applyBorder="1"/>
    <xf numFmtId="0" fontId="0" fillId="3" borderId="1" xfId="0" applyFill="1" applyBorder="1" applyAlignment="1">
      <alignment wrapText="1"/>
    </xf>
    <xf numFmtId="0" fontId="0" fillId="3" borderId="0" xfId="0" applyFill="1"/>
    <xf numFmtId="0" fontId="0" fillId="4" borderId="1" xfId="0" applyFill="1" applyBorder="1"/>
    <xf numFmtId="44" fontId="0" fillId="4" borderId="1" xfId="1" applyFont="1" applyFill="1" applyBorder="1"/>
    <xf numFmtId="0" fontId="0" fillId="4" borderId="5" xfId="0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rrybase.at/raspberry-pi-5-1gb-ra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uugear.com/product/witty-pi-4/" TargetMode="External"/><Relationship Id="rId1" Type="http://schemas.openxmlformats.org/officeDocument/2006/relationships/hyperlink" Target="https://www.auer-packaging.com/at/de/Schutzkoffer-Pro/CP-S-4322-B2.html?color=7016" TargetMode="External"/><Relationship Id="rId6" Type="http://schemas.openxmlformats.org/officeDocument/2006/relationships/hyperlink" Target="https://www.vision-dimension.com/de/objektive/c-mount-objektive-und-cs-mount-objektive/festbrennweite-manuell/75-mm-c-mount-20mp-objektiv-computar-v7531-mpz-3-1/75mm/1110?pk_campaign=GoogleShopping&amp;gad_source=1&amp;gad_campaignid=341317344&amp;gbraid=0AAAAAD_nYhsZCIAqTokEmP64dj5N8DbTK&amp;gclid=CjwKCAjwhLPOBhBiEiwA8_wJHGx4FS7IG3tanuCsKTaVejbIYgi3GGxQxouGaOVCQQOFfRBm_25E9hoCdacQAvD_BwE" TargetMode="External"/><Relationship Id="rId5" Type="http://schemas.openxmlformats.org/officeDocument/2006/relationships/hyperlink" Target="https://va-imaging.com/de/products/usb-camera-3-0-20mp-monochrome-sony-imx183-mer2-2000-19u3m?_pos=1&amp;_fid=e8ea17c26&amp;_ss=c" TargetMode="External"/><Relationship Id="rId4" Type="http://schemas.openxmlformats.org/officeDocument/2006/relationships/hyperlink" Target="https://de.eco-worthy.com/products/lifepo4-12v-30ah-lithium-eisen-phosphat-batterie?currency=EUR&amp;variant=42234336903376&amp;utm_source=google&amp;utm_medium=cpc&amp;utm_campaign=Google%20Shopping&amp;stkn=05237b7883da&amp;gad_source=1&amp;gad_campaignid=20109358748&amp;gbraid=0AAAAABJEQXyc9jM4IPqoOi4J0etV53qfC&amp;gclid=CjwKCAiA9aPKBhBhEiwAyz82JzyKK6CD6hc0zARX8k6E9XRay25Z7Z_fpQqpUREA0O3WggNRlFfW4hoCAKA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2251-51A8-4179-BD28-8E4681622DF4}">
  <dimension ref="A1:E21"/>
  <sheetViews>
    <sheetView tabSelected="1" zoomScale="85" zoomScaleNormal="85" workbookViewId="0">
      <selection activeCell="D20" sqref="D20"/>
    </sheetView>
  </sheetViews>
  <sheetFormatPr defaultRowHeight="16.5" x14ac:dyDescent="0.45"/>
  <cols>
    <col min="2" max="2" width="20.53515625" bestFit="1" customWidth="1"/>
    <col min="3" max="3" width="10.921875" bestFit="1" customWidth="1"/>
    <col min="4" max="4" width="46.4609375" customWidth="1"/>
    <col min="5" max="5" width="255.69140625" bestFit="1" customWidth="1"/>
    <col min="6" max="16384" width="9.23046875" style="3"/>
  </cols>
  <sheetData>
    <row r="1" spans="1:5" x14ac:dyDescent="0.45">
      <c r="A1" s="1" t="s">
        <v>0</v>
      </c>
    </row>
    <row r="3" spans="1:5" s="4" customFormat="1" x14ac:dyDescent="0.45">
      <c r="A3" s="11" t="s">
        <v>28</v>
      </c>
      <c r="B3" s="11" t="s">
        <v>1</v>
      </c>
      <c r="C3" s="11" t="s">
        <v>2</v>
      </c>
      <c r="D3" s="11" t="s">
        <v>3</v>
      </c>
      <c r="E3" s="11" t="s">
        <v>21</v>
      </c>
    </row>
    <row r="4" spans="1:5" x14ac:dyDescent="0.45">
      <c r="A4" s="26" t="s">
        <v>35</v>
      </c>
      <c r="B4" s="6" t="s">
        <v>22</v>
      </c>
      <c r="C4" s="7">
        <v>420</v>
      </c>
      <c r="D4" s="6" t="s">
        <v>36</v>
      </c>
      <c r="E4" s="8" t="s">
        <v>41</v>
      </c>
    </row>
    <row r="5" spans="1:5" x14ac:dyDescent="0.45">
      <c r="A5" s="27"/>
      <c r="B5" s="6" t="s">
        <v>4</v>
      </c>
      <c r="C5" s="7">
        <v>540</v>
      </c>
      <c r="D5" s="6" t="s">
        <v>37</v>
      </c>
      <c r="E5" s="8" t="s">
        <v>38</v>
      </c>
    </row>
    <row r="6" spans="1:5" ht="16.5" customHeight="1" x14ac:dyDescent="0.45">
      <c r="A6" s="28" t="s">
        <v>27</v>
      </c>
      <c r="B6" s="17" t="s">
        <v>6</v>
      </c>
      <c r="C6" s="18">
        <v>50</v>
      </c>
      <c r="D6" s="17" t="s">
        <v>40</v>
      </c>
      <c r="E6" s="19" t="s">
        <v>39</v>
      </c>
    </row>
    <row r="7" spans="1:5" x14ac:dyDescent="0.45">
      <c r="A7" s="29"/>
      <c r="B7" s="17" t="s">
        <v>45</v>
      </c>
      <c r="C7" s="18">
        <v>71.900000000000006</v>
      </c>
      <c r="D7" s="17" t="s">
        <v>13</v>
      </c>
      <c r="E7" s="20" t="s">
        <v>46</v>
      </c>
    </row>
    <row r="8" spans="1:5" ht="49.5" x14ac:dyDescent="0.45">
      <c r="A8" s="29"/>
      <c r="B8" s="17" t="s">
        <v>10</v>
      </c>
      <c r="C8" s="18">
        <v>100</v>
      </c>
      <c r="D8" s="21" t="s">
        <v>47</v>
      </c>
      <c r="E8" s="22" t="s">
        <v>48</v>
      </c>
    </row>
    <row r="9" spans="1:5" x14ac:dyDescent="0.45">
      <c r="A9" s="30"/>
      <c r="B9" s="6" t="s">
        <v>11</v>
      </c>
      <c r="C9" s="7">
        <v>20</v>
      </c>
      <c r="D9" s="6" t="s">
        <v>52</v>
      </c>
      <c r="E9" s="12" t="s">
        <v>34</v>
      </c>
    </row>
    <row r="10" spans="1:5" x14ac:dyDescent="0.45">
      <c r="A10" s="31" t="s">
        <v>23</v>
      </c>
      <c r="B10" s="6" t="s">
        <v>7</v>
      </c>
      <c r="C10" s="7">
        <v>90</v>
      </c>
      <c r="D10" s="6" t="s">
        <v>26</v>
      </c>
      <c r="E10" s="8" t="s">
        <v>16</v>
      </c>
    </row>
    <row r="11" spans="1:5" x14ac:dyDescent="0.45">
      <c r="A11" s="32"/>
      <c r="B11" s="23" t="s">
        <v>19</v>
      </c>
      <c r="C11" s="24">
        <v>5</v>
      </c>
      <c r="D11" s="23" t="s">
        <v>29</v>
      </c>
      <c r="E11" s="25" t="s">
        <v>18</v>
      </c>
    </row>
    <row r="12" spans="1:5" x14ac:dyDescent="0.45">
      <c r="A12" s="32"/>
      <c r="B12" s="23" t="s">
        <v>17</v>
      </c>
      <c r="C12" s="24">
        <v>80</v>
      </c>
      <c r="D12" s="23"/>
      <c r="E12" s="25" t="s">
        <v>51</v>
      </c>
    </row>
    <row r="13" spans="1:5" ht="33" x14ac:dyDescent="0.45">
      <c r="A13" s="33"/>
      <c r="B13" s="6" t="s">
        <v>31</v>
      </c>
      <c r="C13" s="7">
        <v>100</v>
      </c>
      <c r="D13" s="13" t="s">
        <v>30</v>
      </c>
      <c r="E13" s="10"/>
    </row>
    <row r="14" spans="1:5" s="5" customFormat="1" x14ac:dyDescent="0.45">
      <c r="A14" s="27" t="s">
        <v>24</v>
      </c>
      <c r="B14" s="23" t="s">
        <v>5</v>
      </c>
      <c r="C14" s="24">
        <v>35</v>
      </c>
      <c r="D14" s="23" t="s">
        <v>42</v>
      </c>
      <c r="E14" s="25" t="s">
        <v>49</v>
      </c>
    </row>
    <row r="15" spans="1:5" s="5" customFormat="1" x14ac:dyDescent="0.45">
      <c r="A15" s="27"/>
      <c r="B15" s="6" t="s">
        <v>14</v>
      </c>
      <c r="C15" s="7">
        <v>45</v>
      </c>
      <c r="D15" s="6" t="s">
        <v>32</v>
      </c>
      <c r="E15" s="8" t="s">
        <v>50</v>
      </c>
    </row>
    <row r="16" spans="1:5" s="9" customFormat="1" x14ac:dyDescent="0.45">
      <c r="A16" s="27"/>
      <c r="B16" s="6" t="s">
        <v>9</v>
      </c>
      <c r="C16" s="7">
        <v>90</v>
      </c>
      <c r="D16" s="6" t="s">
        <v>33</v>
      </c>
      <c r="E16" s="8" t="s">
        <v>15</v>
      </c>
    </row>
    <row r="17" spans="1:5" s="9" customFormat="1" x14ac:dyDescent="0.45">
      <c r="A17" s="27"/>
      <c r="B17" s="6" t="s">
        <v>12</v>
      </c>
      <c r="C17" s="7">
        <v>60</v>
      </c>
      <c r="D17" s="6"/>
      <c r="E17" s="10" t="s">
        <v>43</v>
      </c>
    </row>
    <row r="18" spans="1:5" ht="33" x14ac:dyDescent="0.45">
      <c r="A18" s="15" t="s">
        <v>25</v>
      </c>
      <c r="B18" s="6" t="s">
        <v>8</v>
      </c>
      <c r="C18" s="7">
        <v>50</v>
      </c>
      <c r="D18" s="13" t="s">
        <v>20</v>
      </c>
      <c r="E18" s="10" t="s">
        <v>44</v>
      </c>
    </row>
    <row r="19" spans="1:5" x14ac:dyDescent="0.45">
      <c r="A19" s="14"/>
      <c r="B19" s="14"/>
      <c r="C19" s="16">
        <f>SUM(C4:C18)</f>
        <v>1756.9</v>
      </c>
      <c r="D19" s="14"/>
      <c r="E19" s="14"/>
    </row>
    <row r="21" spans="1:5" x14ac:dyDescent="0.45">
      <c r="E21" s="2"/>
    </row>
  </sheetData>
  <mergeCells count="4">
    <mergeCell ref="A4:A5"/>
    <mergeCell ref="A14:A17"/>
    <mergeCell ref="A6:A9"/>
    <mergeCell ref="A10:A13"/>
  </mergeCells>
  <hyperlinks>
    <hyperlink ref="E10" r:id="rId1" xr:uid="{A9CE26E5-1DDC-4089-B53B-C5B6563F2EB4}"/>
    <hyperlink ref="E9" r:id="rId2" xr:uid="{7478F91B-38B9-4D29-B5C5-FFA77994D424}"/>
    <hyperlink ref="E6" r:id="rId3" xr:uid="{A28823CD-CBDB-416A-91B3-91FA88A8CE99}"/>
    <hyperlink ref="E16" r:id="rId4" display="https://de.eco-worthy.com/products/lifepo4-12v-30ah-lithium-eisen-phosphat-batterie?currency=EUR&amp;variant=42234336903376&amp;utm_source=google&amp;utm_medium=cpc&amp;utm_campaign=Google%20Shopping&amp;stkn=05237b7883da&amp;gad_source=1&amp;gad_campaignid=20109358748&amp;gbraid=0AAAAABJEQXyc9jM4IPqoOi4J0etV53qfC&amp;gclid=CjwKCAiA9aPKBhBhEiwAyz82JzyKK6CD6hc0zARX8k6E9XRay25Z7Z_fpQqpUREA0O3WggNRlFfW4hoCAKAQAvD_BwE" xr:uid="{F8711999-8C6E-4389-8C30-C35DD2FC70DF}"/>
    <hyperlink ref="E4" r:id="rId5" location="second-part-specifications" xr:uid="{12AFBF80-449F-47FB-A57B-BDD1104A0A97}"/>
    <hyperlink ref="E5" r:id="rId6" display="https://www.vision-dimension.com/de/objektive/c-mount-objektive-und-cs-mount-objektive/festbrennweite-manuell/75-mm-c-mount-20mp-objektiv-computar-v7531-mpz-3-1/75mm/1110?pk_campaign=GoogleShopping&amp;gad_source=1&amp;gad_campaignid=341317344&amp;gbraid=0AAAAAD_nYhsZCIAqTokEmP64dj5N8DbTK&amp;gclid=CjwKCAjwhLPOBhBiEiwA8_wJHGx4FS7IG3tanuCsKTaVejbIYgi3GGxQxouGaOVCQQOFfRBm_25E9hoCdacQAvD_BwE" xr:uid="{2FFA0E6F-A31C-4E5B-8DFB-31E052952A3E}"/>
  </hyperlinks>
  <pageMargins left="0.7" right="0.7" top="0.75" bottom="0.75" header="0.3" footer="0.3"/>
  <pageSetup paperSize="9" orientation="portrait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Haselberger, Stefan (stefan.haselberger@uni-graz.at)</dc:creator>
  <cp:lastModifiedBy>Haselberger, Stefan (stefan.haselberger@uni-graz.at)</cp:lastModifiedBy>
  <dcterms:created xsi:type="dcterms:W3CDTF">2025-12-22T12:42:18Z</dcterms:created>
  <dcterms:modified xsi:type="dcterms:W3CDTF">2026-04-07T07:12:40Z</dcterms:modified>
</cp:coreProperties>
</file>